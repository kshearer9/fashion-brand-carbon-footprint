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Users/kirstyshearer/Desktop/job-search/projects/fashion-brand-carbon-footprint/"/>
    </mc:Choice>
  </mc:AlternateContent>
  <xr:revisionPtr revIDLastSave="0" documentId="11_D13AD20C306C3E6144E30106F3CC02954FE05B8E" xr6:coauthVersionLast="47" xr6:coauthVersionMax="47" xr10:uidLastSave="{00000000-0000-0000-0000-000000000000}"/>
  <bookViews>
    <workbookView xWindow="1040" yWindow="660" windowWidth="14200" windowHeight="18460" activeTab="1" xr2:uid="{00000000-000D-0000-FFFF-FFFF00000000}"/>
  </bookViews>
  <sheets>
    <sheet name="About" sheetId="1" r:id="rId1"/>
    <sheet name="Assumptions" sheetId="2" r:id="rId2"/>
    <sheet name="Emission factors" sheetId="3" r:id="rId3"/>
    <sheet name="Calculations" sheetId="4" r:id="rId4"/>
    <sheet name="Summar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4" i="2" l="1"/>
  <c r="C13" i="2"/>
  <c r="C8" i="2"/>
  <c r="C4" i="2"/>
  <c r="C16" i="2" l="1"/>
  <c r="C15" i="2"/>
</calcChain>
</file>

<file path=xl/sharedStrings.xml><?xml version="1.0" encoding="utf-8"?>
<sst xmlns="http://schemas.openxmlformats.org/spreadsheetml/2006/main" count="96" uniqueCount="65">
  <si>
    <t>Section</t>
  </si>
  <si>
    <t>Item</t>
  </si>
  <si>
    <t>Value</t>
  </si>
  <si>
    <t>Unit</t>
  </si>
  <si>
    <t>Source / reasoning</t>
  </si>
  <si>
    <t>Staff</t>
  </si>
  <si>
    <t>Shop staff</t>
  </si>
  <si>
    <t>people</t>
  </si>
  <si>
    <t>Small shop staffed on a rota</t>
  </si>
  <si>
    <t>Studio staff</t>
  </si>
  <si>
    <t>Design, production, sourcing and online orders</t>
  </si>
  <si>
    <t>Total staff</t>
  </si>
  <si>
    <t>Formula</t>
  </si>
  <si>
    <t>Buildings</t>
  </si>
  <si>
    <t>Shop floor area</t>
  </si>
  <si>
    <t>m²</t>
  </si>
  <si>
    <t>Based on independent designer shops in London</t>
  </si>
  <si>
    <t>Desk space per person</t>
  </si>
  <si>
    <t>m² per person</t>
  </si>
  <si>
    <t>https://www.bco.org.uk/bco-announces-new-recommendations-for-greener-and-healthier-offices</t>
  </si>
  <si>
    <t>Studio workroom area</t>
  </si>
  <si>
    <t>Pattern cutting, sampling, fabric storage, fittings</t>
  </si>
  <si>
    <t>Studio floor area</t>
  </si>
  <si>
    <t>Formula: studio staff × desk space + workroom</t>
  </si>
  <si>
    <t>Energy</t>
  </si>
  <si>
    <t>Shop electricity benchmark</t>
  </si>
  <si>
    <t>kWh per m² per year</t>
  </si>
  <si>
    <t>ND-NEED 2026 edition (published Sept 2026), Table 9A, Shops, 2024 median for England and Wales</t>
  </si>
  <si>
    <t>Shop gas benchmark</t>
  </si>
  <si>
    <t>ND-NEED 2026 edition (published Sept 2026), Table 9C, Shops, 2024 median for England and Wales</t>
  </si>
  <si>
    <t>Studio electricity benchmark</t>
  </si>
  <si>
    <t>ND-NEED 2026 edition (published Sept 2026), Table 9A, Offices, 2024 median for England and Wales. Offices used for the whole studio, so this probably underestimates electricity for the workroom machines (sewing machines, irons, steamers).</t>
  </si>
  <si>
    <t>Studio gas benchmark</t>
  </si>
  <si>
    <t>ND-NEED 2026 edition (published Sept 2026), Table 9C, Offices, 2024 median for England and Wales.</t>
  </si>
  <si>
    <t>Shop electricity use</t>
  </si>
  <si>
    <t>kWh per year</t>
  </si>
  <si>
    <t>Formula: floor area × benchmark</t>
  </si>
  <si>
    <t>Shop gas use</t>
  </si>
  <si>
    <t>Studio electricity use</t>
  </si>
  <si>
    <t>Studio gas use</t>
  </si>
  <si>
    <t>Shop electricity tariff</t>
  </si>
  <si>
    <t>Landlord-supplied, tariff unknown</t>
  </si>
  <si>
    <t>text</t>
  </si>
  <si>
    <t>Leased retail unit: landlord buys the electricity and recharges it in the service charge. Decides the market-based Scope 2 factor.</t>
  </si>
  <si>
    <t>Studio electricity tariff</t>
  </si>
  <si>
    <t>100% renewable, backed by REGOs</t>
  </si>
  <si>
    <t>Brand's own contract, chosen by the brand. Decides the market-based Scope 2 factor.</t>
  </si>
  <si>
    <t>Scope 3 (later)</t>
  </si>
  <si>
    <t>Garments made per year</t>
  </si>
  <si>
    <t>garments</t>
  </si>
  <si>
    <t>Share made in the UK</t>
  </si>
  <si>
    <t>%</t>
  </si>
  <si>
    <t>Online orders per year</t>
  </si>
  <si>
    <t>orders</t>
  </si>
  <si>
    <t>Business trips per year</t>
  </si>
  <si>
    <t>trips</t>
  </si>
  <si>
    <t>Brand name</t>
  </si>
  <si>
    <t>Reporting period</t>
  </si>
  <si>
    <t>1 January to 31 December 2025</t>
  </si>
  <si>
    <t>Standard</t>
  </si>
  <si>
    <t>GHG Protocol Corporate Standard</t>
  </si>
  <si>
    <t>Emission factors</t>
  </si>
  <si>
    <t>DESNZ conversion factors 2025, condensed set</t>
  </si>
  <si>
    <t>Colour key</t>
  </si>
  <si>
    <t>Blue text = typed input. Black text = formula.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</si>
</sst>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Aptos Narrow"/>
      <family val="2"/>
      <scheme val="minor"/>
    </font>
    <font>
      <b/>
      <sz val="12"/>
      <name val="Aptos Narrow"/>
    </font>
    <font>
      <sz val="12"/>
      <color rgb="FF0000FF"/>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zoomScale="91" workbookViewId="0">
      <selection activeCell="B5" sqref="B5"/>
    </sheetView>
  </sheetViews>
  <sheetFormatPr baseColWidth="10" defaultRowHeight="16"/>
  <cols>
    <col min="1" max="1" width="18" customWidth="1"/>
    <col min="2" max="2" width="50" customWidth="1"/>
    <col min="7" max="7" width="31.1640625" customWidth="1"/>
  </cols>
  <sheetData>
    <row r="1" spans="1:2">
      <c r="A1" s="1" t="s">
        <v>56</v>
      </c>
      <c r="B1" s="2"/>
    </row>
    <row r="2" spans="1:2">
      <c r="A2" s="1" t="s">
        <v>57</v>
      </c>
      <c r="B2" t="s">
        <v>58</v>
      </c>
    </row>
    <row r="3" spans="1:2">
      <c r="A3" s="1" t="s">
        <v>59</v>
      </c>
      <c r="B3" t="s">
        <v>60</v>
      </c>
    </row>
    <row r="4" spans="1:2">
      <c r="A4" s="1" t="s">
        <v>61</v>
      </c>
      <c r="B4" t="s">
        <v>62</v>
      </c>
    </row>
    <row r="5" spans="1:2">
      <c r="A5" s="1" t="s">
        <v>63</v>
      </c>
      <c r="B5"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
  <sheetViews>
    <sheetView tabSelected="1" workbookViewId="0">
      <pane ySplit="1" topLeftCell="A2" activePane="bottomLeft" state="frozen"/>
      <selection pane="bottomLeft" activeCell="E19" sqref="E19"/>
    </sheetView>
  </sheetViews>
  <sheetFormatPr baseColWidth="10" defaultRowHeight="16"/>
  <cols>
    <col min="1" max="1" width="16" customWidth="1"/>
    <col min="2" max="2" width="30" customWidth="1"/>
    <col min="3" max="3" width="10" customWidth="1"/>
    <col min="4" max="4" width="22" customWidth="1"/>
    <col min="5" max="5" width="70" customWidth="1"/>
  </cols>
  <sheetData>
    <row r="1" spans="1:5">
      <c r="A1" s="1" t="s">
        <v>0</v>
      </c>
      <c r="B1" s="1" t="s">
        <v>1</v>
      </c>
      <c r="C1" s="1" t="s">
        <v>2</v>
      </c>
      <c r="D1" s="1" t="s">
        <v>3</v>
      </c>
      <c r="E1" s="1" t="s">
        <v>4</v>
      </c>
    </row>
    <row r="2" spans="1:5">
      <c r="A2" t="s">
        <v>5</v>
      </c>
      <c r="B2" t="s">
        <v>6</v>
      </c>
      <c r="C2" s="2">
        <v>3</v>
      </c>
      <c r="D2" t="s">
        <v>7</v>
      </c>
      <c r="E2" t="s">
        <v>8</v>
      </c>
    </row>
    <row r="3" spans="1:5">
      <c r="A3" t="s">
        <v>5</v>
      </c>
      <c r="B3" t="s">
        <v>9</v>
      </c>
      <c r="C3" s="2">
        <v>9</v>
      </c>
      <c r="D3" t="s">
        <v>7</v>
      </c>
      <c r="E3" t="s">
        <v>10</v>
      </c>
    </row>
    <row r="4" spans="1:5">
      <c r="A4" t="s">
        <v>5</v>
      </c>
      <c r="B4" t="s">
        <v>11</v>
      </c>
      <c r="C4">
        <f>C2+C3</f>
        <v>12</v>
      </c>
      <c r="D4" t="s">
        <v>7</v>
      </c>
      <c r="E4" t="s">
        <v>12</v>
      </c>
    </row>
    <row r="5" spans="1:5">
      <c r="A5" t="s">
        <v>13</v>
      </c>
      <c r="B5" t="s">
        <v>14</v>
      </c>
      <c r="C5" s="2">
        <v>130</v>
      </c>
      <c r="D5" t="s">
        <v>15</v>
      </c>
      <c r="E5" t="s">
        <v>16</v>
      </c>
    </row>
    <row r="6" spans="1:5">
      <c r="A6" t="s">
        <v>13</v>
      </c>
      <c r="B6" t="s">
        <v>17</v>
      </c>
      <c r="C6" s="2">
        <v>10</v>
      </c>
      <c r="D6" t="s">
        <v>18</v>
      </c>
      <c r="E6" t="s">
        <v>19</v>
      </c>
    </row>
    <row r="7" spans="1:5">
      <c r="A7" t="s">
        <v>13</v>
      </c>
      <c r="B7" t="s">
        <v>20</v>
      </c>
      <c r="C7" s="2">
        <v>70</v>
      </c>
      <c r="D7" t="s">
        <v>15</v>
      </c>
      <c r="E7" t="s">
        <v>21</v>
      </c>
    </row>
    <row r="8" spans="1:5">
      <c r="A8" t="s">
        <v>13</v>
      </c>
      <c r="B8" t="s">
        <v>22</v>
      </c>
      <c r="C8">
        <f>C3*C6+C7</f>
        <v>160</v>
      </c>
      <c r="D8" t="s">
        <v>15</v>
      </c>
      <c r="E8" t="s">
        <v>23</v>
      </c>
    </row>
    <row r="9" spans="1:5">
      <c r="A9" t="s">
        <v>24</v>
      </c>
      <c r="B9" t="s">
        <v>25</v>
      </c>
      <c r="C9" s="2">
        <v>108.01</v>
      </c>
      <c r="D9" t="s">
        <v>26</v>
      </c>
      <c r="E9" t="s">
        <v>27</v>
      </c>
    </row>
    <row r="10" spans="1:5">
      <c r="A10" t="s">
        <v>24</v>
      </c>
      <c r="B10" t="s">
        <v>28</v>
      </c>
      <c r="C10" s="2">
        <v>190.08</v>
      </c>
      <c r="D10" t="s">
        <v>26</v>
      </c>
      <c r="E10" t="s">
        <v>29</v>
      </c>
    </row>
    <row r="11" spans="1:5">
      <c r="A11" t="s">
        <v>24</v>
      </c>
      <c r="B11" t="s">
        <v>30</v>
      </c>
      <c r="C11" s="2">
        <v>62.8</v>
      </c>
      <c r="D11" t="s">
        <v>26</v>
      </c>
      <c r="E11" t="s">
        <v>31</v>
      </c>
    </row>
    <row r="12" spans="1:5">
      <c r="A12" t="s">
        <v>24</v>
      </c>
      <c r="B12" t="s">
        <v>32</v>
      </c>
      <c r="C12" s="2">
        <v>147.54</v>
      </c>
      <c r="D12" t="s">
        <v>26</v>
      </c>
      <c r="E12" t="s">
        <v>33</v>
      </c>
    </row>
    <row r="13" spans="1:5">
      <c r="A13" t="s">
        <v>24</v>
      </c>
      <c r="B13" t="s">
        <v>34</v>
      </c>
      <c r="C13">
        <f>C5*C9</f>
        <v>14041.300000000001</v>
      </c>
      <c r="D13" t="s">
        <v>35</v>
      </c>
      <c r="E13" t="s">
        <v>36</v>
      </c>
    </row>
    <row r="14" spans="1:5">
      <c r="A14" t="s">
        <v>24</v>
      </c>
      <c r="B14" t="s">
        <v>37</v>
      </c>
      <c r="C14">
        <f>C5*C10</f>
        <v>24710.400000000001</v>
      </c>
      <c r="D14" t="s">
        <v>35</v>
      </c>
      <c r="E14" t="s">
        <v>36</v>
      </c>
    </row>
    <row r="15" spans="1:5">
      <c r="A15" t="s">
        <v>24</v>
      </c>
      <c r="B15" t="s">
        <v>38</v>
      </c>
      <c r="C15">
        <f>C8*C11</f>
        <v>10048</v>
      </c>
      <c r="D15" t="s">
        <v>35</v>
      </c>
      <c r="E15" t="s">
        <v>36</v>
      </c>
    </row>
    <row r="16" spans="1:5">
      <c r="A16" t="s">
        <v>24</v>
      </c>
      <c r="B16" t="s">
        <v>39</v>
      </c>
      <c r="C16">
        <f>C8*C12</f>
        <v>23606.399999999998</v>
      </c>
      <c r="D16" t="s">
        <v>35</v>
      </c>
      <c r="E16" t="s">
        <v>36</v>
      </c>
    </row>
    <row r="17" spans="1:5">
      <c r="A17" t="s">
        <v>24</v>
      </c>
      <c r="B17" t="s">
        <v>40</v>
      </c>
      <c r="C17" s="2" t="s">
        <v>41</v>
      </c>
      <c r="D17" t="s">
        <v>42</v>
      </c>
      <c r="E17" t="s">
        <v>43</v>
      </c>
    </row>
    <row r="18" spans="1:5">
      <c r="A18" t="s">
        <v>24</v>
      </c>
      <c r="B18" t="s">
        <v>44</v>
      </c>
      <c r="C18" s="2" t="s">
        <v>45</v>
      </c>
      <c r="D18" t="s">
        <v>42</v>
      </c>
      <c r="E18" t="s">
        <v>46</v>
      </c>
    </row>
    <row r="19" spans="1:5">
      <c r="A19" t="s">
        <v>47</v>
      </c>
      <c r="B19" t="s">
        <v>48</v>
      </c>
      <c r="C19" s="2"/>
      <c r="D19" t="s">
        <v>49</v>
      </c>
    </row>
    <row r="20" spans="1:5">
      <c r="A20" t="s">
        <v>47</v>
      </c>
      <c r="B20" t="s">
        <v>50</v>
      </c>
      <c r="C20" s="2"/>
      <c r="D20" t="s">
        <v>51</v>
      </c>
    </row>
    <row r="21" spans="1:5">
      <c r="A21" t="s">
        <v>47</v>
      </c>
      <c r="B21" t="s">
        <v>52</v>
      </c>
      <c r="C21" s="2"/>
      <c r="D21" t="s">
        <v>53</v>
      </c>
    </row>
    <row r="22" spans="1:5">
      <c r="A22" t="s">
        <v>47</v>
      </c>
      <c r="B22" t="s">
        <v>54</v>
      </c>
      <c r="C22" s="2"/>
      <c r="D22"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6"/>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baseColWidth="10" defaultRowHeight="16"/>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baseColWidth="10" defaultRowHeight="16"/>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Assumptions</vt:lpstr>
      <vt:lpstr>Emission factors</vt:lpstr>
      <vt:lpstr>Calculations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SHEARER, KIRSTY (Student)</dc:creator>
  <cp:lastModifiedBy>SHEARER, KIRSTY (Student)</cp:lastModifiedBy>
  <dcterms:created xsi:type="dcterms:W3CDTF">2026-10-20T10:39:37Z</dcterms:created>
  <dcterms:modified xsi:type="dcterms:W3CDTF">2026-10-20T11:27:50Z</dcterms:modified>
</cp:coreProperties>
</file>