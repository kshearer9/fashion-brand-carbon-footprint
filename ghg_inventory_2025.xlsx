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kirstyshearer/Desktop/job-search/projects/fashion-brand-carbon-footprint/"/>
    </mc:Choice>
  </mc:AlternateContent>
  <xr:revisionPtr revIDLastSave="0" documentId="13_ncr:1_{7C5C5327-025B-8F41-BD92-479FBCBD6540}" xr6:coauthVersionLast="47" xr6:coauthVersionMax="47" xr10:uidLastSave="{00000000-0000-0000-0000-000000000000}"/>
  <bookViews>
    <workbookView xWindow="1040" yWindow="660" windowWidth="14200" windowHeight="18460" activeTab="2" xr2:uid="{00000000-000D-0000-FFFF-FFFF00000000}"/>
  </bookViews>
  <sheets>
    <sheet name="About" sheetId="1" r:id="rId1"/>
    <sheet name="Assumptions" sheetId="2" r:id="rId2"/>
    <sheet name="Emission factors" sheetId="3" r:id="rId3"/>
    <sheet name="Calculations" sheetId="4" r:id="rId4"/>
    <sheet name="Summar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 i="2" l="1"/>
  <c r="C13" i="2"/>
  <c r="C8" i="2"/>
  <c r="C4" i="2"/>
  <c r="C16" i="2" l="1"/>
  <c r="C15" i="2"/>
</calcChain>
</file>

<file path=xl/sharedStrings.xml><?xml version="1.0" encoding="utf-8"?>
<sst xmlns="http://schemas.openxmlformats.org/spreadsheetml/2006/main" count="123" uniqueCount="89">
  <si>
    <t>Section</t>
  </si>
  <si>
    <t>Item</t>
  </si>
  <si>
    <t>Value</t>
  </si>
  <si>
    <t>Unit</t>
  </si>
  <si>
    <t>Source / reasoning</t>
  </si>
  <si>
    <t>Staff</t>
  </si>
  <si>
    <t>Shop staff</t>
  </si>
  <si>
    <t>people</t>
  </si>
  <si>
    <t>Small shop staffed on a rota</t>
  </si>
  <si>
    <t>Studio staff</t>
  </si>
  <si>
    <t>Design, production, sourcing and online orders</t>
  </si>
  <si>
    <t>Total staff</t>
  </si>
  <si>
    <t>Formula</t>
  </si>
  <si>
    <t>Buildings</t>
  </si>
  <si>
    <t>Shop floor area</t>
  </si>
  <si>
    <t>m²</t>
  </si>
  <si>
    <t>Based on independent designer shops in London</t>
  </si>
  <si>
    <t>Desk space per person</t>
  </si>
  <si>
    <t>m² per person</t>
  </si>
  <si>
    <t>https://www.bco.org.uk/bco-announces-new-recommendations-for-greener-and-healthier-offices</t>
  </si>
  <si>
    <t>Studio workroom area</t>
  </si>
  <si>
    <t>Pattern cutting, sampling, fabric storage, fittings</t>
  </si>
  <si>
    <t>Studio floor area</t>
  </si>
  <si>
    <t>Formula: studio staff × desk space + workroom</t>
  </si>
  <si>
    <t>Energy</t>
  </si>
  <si>
    <t>Shop electricity benchmark</t>
  </si>
  <si>
    <t>kWh per m² per year</t>
  </si>
  <si>
    <t>ND-NEED 2026 edition (published Sept 2026), Table 9A, Shops, 2024 median for England and Wales</t>
  </si>
  <si>
    <t>Shop gas benchmark</t>
  </si>
  <si>
    <t>ND-NEED 2026 edition (published Sept 2026), Table 9C, Shops, 2024 median for England and Wales</t>
  </si>
  <si>
    <t>Studio electricity benchmark</t>
  </si>
  <si>
    <t>ND-NEED 2026 edition (published Sept 2026), Table 9A, Offices, 2024 median for England and Wales. Offices used for the whole studio, so this probably underestimates electricity for the workroom machines (sewing machines, irons, steamers).</t>
  </si>
  <si>
    <t>Studio gas benchmark</t>
  </si>
  <si>
    <t>ND-NEED 2026 edition (published Sept 2026), Table 9C, Offices, 2024 median for England and Wales.</t>
  </si>
  <si>
    <t>Shop electricity use</t>
  </si>
  <si>
    <t>kWh per year</t>
  </si>
  <si>
    <t>Formula: floor area × benchmark</t>
  </si>
  <si>
    <t>Shop gas use</t>
  </si>
  <si>
    <t>Studio electricity use</t>
  </si>
  <si>
    <t>Studio gas use</t>
  </si>
  <si>
    <t>Shop electricity tariff</t>
  </si>
  <si>
    <t>Landlord-supplied, tariff unknown</t>
  </si>
  <si>
    <t>text</t>
  </si>
  <si>
    <t>Leased retail unit: landlord buys the electricity and recharges it in the service charge. Decides the market-based Scope 2 factor.</t>
  </si>
  <si>
    <t>Studio electricity tariff</t>
  </si>
  <si>
    <t>100% renewable, backed by REGOs</t>
  </si>
  <si>
    <t>Brand's own contract, chosen by the brand. Decides the market-based Scope 2 factor.</t>
  </si>
  <si>
    <t>Scope 3 (later)</t>
  </si>
  <si>
    <t>Garments made per year</t>
  </si>
  <si>
    <t>garments</t>
  </si>
  <si>
    <t>Share made in the UK</t>
  </si>
  <si>
    <t>%</t>
  </si>
  <si>
    <t>Online orders per year</t>
  </si>
  <si>
    <t>orders</t>
  </si>
  <si>
    <t>Business trips per year</t>
  </si>
  <si>
    <t>trips</t>
  </si>
  <si>
    <t>Brand name</t>
  </si>
  <si>
    <t>Reporting period</t>
  </si>
  <si>
    <t>1 January to 31 December 2025</t>
  </si>
  <si>
    <t>Standard</t>
  </si>
  <si>
    <t>GHG Protocol Corporate Standard</t>
  </si>
  <si>
    <t>Boundary</t>
  </si>
  <si>
    <t>Operational control</t>
  </si>
  <si>
    <t>Emission factors</t>
  </si>
  <si>
    <t>DESNZ conversion factors 2025, condensed set</t>
  </si>
  <si>
    <t>Colour key</t>
  </si>
  <si>
    <t>Blue text = typed input. Black text = formula.</t>
  </si>
  <si>
    <t>ID</t>
  </si>
  <si>
    <t>Description</t>
  </si>
  <si>
    <t>Factor</t>
  </si>
  <si>
    <t>Scope</t>
  </si>
  <si>
    <t>Source (DESNZ sheet, row label, year and set)</t>
  </si>
  <si>
    <t>Notes</t>
  </si>
  <si>
    <t>GAS_NAT</t>
  </si>
  <si>
    <t>Natural gas</t>
  </si>
  <si>
    <t>Scope 1</t>
  </si>
  <si>
    <t>ELEC_UK_LOC</t>
  </si>
  <si>
    <t>UK grid electricity, location-based</t>
  </si>
  <si>
    <t>Scope 2</t>
  </si>
  <si>
    <t>ELEC_SHOP_MKT</t>
  </si>
  <si>
    <t>Shop electricity, market-based</t>
  </si>
  <si>
    <t>ELEC_STUDIO_MKT</t>
  </si>
  <si>
    <t>Studio electricity, market-based</t>
  </si>
  <si>
    <t>kg CO2e per kWh (Gross CV)</t>
  </si>
  <si>
    <t>DESNZ 2025 condensed set, Fuels sheet, Natural gas, kWh (Gross CV), kg CO2e column</t>
  </si>
  <si>
    <t>Gross CV to match the activity data. ND-NEED kWh comes from metered supplier data, which, like UK gas bills, is on a gross basis.</t>
  </si>
  <si>
    <t>DESNZ 2025 condensed set, UK Electricity sheet, Electricity generated, kWh, kg CO2e column</t>
  </si>
  <si>
    <t>kg CO2e per kWh</t>
  </si>
  <si>
    <t xml:space="preserve">Generation factor used for Scope 2, as DESNZ advises - it covers emissions from producing the electricity the brand buys.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</si>
</sst>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2"/>
      <color theme="1"/>
      <name val="Aptos Narrow"/>
      <family val="2"/>
      <scheme val="minor"/>
    </font>
    <font>
      <b/>
      <sz val="12"/>
      <name val="Aptos Narrow"/>
    </font>
    <font>
      <sz val="12"/>
      <color rgb="FF0000FF"/>
      <name val="Aptos Narrow"/>
    </font>
    <font>
      <sz val="12"/>
      <color rgb="FF0000FF"/>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zoomScale="91" workbookViewId="0">
      <selection activeCell="B14" sqref="B14"/>
    </sheetView>
  </sheetViews>
  <sheetFormatPr baseColWidth="10" defaultRowHeight="16"/>
  <cols>
    <col min="1" max="1" width="18" customWidth="1"/>
    <col min="2" max="2" width="50" customWidth="1"/>
    <col min="7" max="7" width="31.1640625" customWidth="1"/>
  </cols>
  <sheetData>
    <row r="1" spans="1:2">
      <c r="A1" s="1" t="s">
        <v>56</v>
      </c>
      <c r="B1" s="2"/>
    </row>
    <row r="2" spans="1:2">
      <c r="A2" s="1" t="s">
        <v>57</v>
      </c>
      <c r="B2" t="s">
        <v>58</v>
      </c>
    </row>
    <row r="3" spans="1:2">
      <c r="A3" s="1" t="s">
        <v>59</v>
      </c>
      <c r="B3" t="s">
        <v>60</v>
      </c>
    </row>
    <row r="4" spans="1:2">
      <c r="A4" s="1" t="s">
        <v>61</v>
      </c>
      <c r="B4" t="s">
        <v>62</v>
      </c>
    </row>
    <row r="5" spans="1:2">
      <c r="A5" s="1" t="s">
        <v>63</v>
      </c>
      <c r="B5" t="s">
        <v>64</v>
      </c>
    </row>
    <row r="6" spans="1:2">
      <c r="A6" s="1" t="s">
        <v>65</v>
      </c>
      <c r="B6" t="s">
        <v>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
  <sheetViews>
    <sheetView workbookViewId="0">
      <pane ySplit="1" topLeftCell="A2" activePane="bottomLeft" state="frozen"/>
      <selection pane="bottomLeft" activeCell="E19" sqref="E19"/>
    </sheetView>
  </sheetViews>
  <sheetFormatPr baseColWidth="10" defaultRowHeight="16"/>
  <cols>
    <col min="1" max="1" width="16" customWidth="1"/>
    <col min="2" max="2" width="30" customWidth="1"/>
    <col min="3" max="3" width="10" customWidth="1"/>
    <col min="4" max="4" width="22" customWidth="1"/>
    <col min="5" max="5" width="70" customWidth="1"/>
  </cols>
  <sheetData>
    <row r="1" spans="1:5">
      <c r="A1" s="1" t="s">
        <v>0</v>
      </c>
      <c r="B1" s="1" t="s">
        <v>1</v>
      </c>
      <c r="C1" s="1" t="s">
        <v>2</v>
      </c>
      <c r="D1" s="1" t="s">
        <v>3</v>
      </c>
      <c r="E1" s="1" t="s">
        <v>4</v>
      </c>
    </row>
    <row r="2" spans="1:5">
      <c r="A2" t="s">
        <v>5</v>
      </c>
      <c r="B2" t="s">
        <v>6</v>
      </c>
      <c r="C2" s="2">
        <v>3</v>
      </c>
      <c r="D2" t="s">
        <v>7</v>
      </c>
      <c r="E2" t="s">
        <v>8</v>
      </c>
    </row>
    <row r="3" spans="1:5">
      <c r="A3" t="s">
        <v>5</v>
      </c>
      <c r="B3" t="s">
        <v>9</v>
      </c>
      <c r="C3" s="2">
        <v>9</v>
      </c>
      <c r="D3" t="s">
        <v>7</v>
      </c>
      <c r="E3" t="s">
        <v>10</v>
      </c>
    </row>
    <row r="4" spans="1:5">
      <c r="A4" t="s">
        <v>5</v>
      </c>
      <c r="B4" t="s">
        <v>11</v>
      </c>
      <c r="C4">
        <f>C2+C3</f>
        <v>12</v>
      </c>
      <c r="D4" t="s">
        <v>7</v>
      </c>
      <c r="E4" t="s">
        <v>12</v>
      </c>
    </row>
    <row r="5" spans="1:5">
      <c r="A5" t="s">
        <v>13</v>
      </c>
      <c r="B5" t="s">
        <v>14</v>
      </c>
      <c r="C5" s="2">
        <v>130</v>
      </c>
      <c r="D5" t="s">
        <v>15</v>
      </c>
      <c r="E5" t="s">
        <v>16</v>
      </c>
    </row>
    <row r="6" spans="1:5">
      <c r="A6" t="s">
        <v>13</v>
      </c>
      <c r="B6" t="s">
        <v>17</v>
      </c>
      <c r="C6" s="2">
        <v>10</v>
      </c>
      <c r="D6" t="s">
        <v>18</v>
      </c>
      <c r="E6" t="s">
        <v>19</v>
      </c>
    </row>
    <row r="7" spans="1:5">
      <c r="A7" t="s">
        <v>13</v>
      </c>
      <c r="B7" t="s">
        <v>20</v>
      </c>
      <c r="C7" s="2">
        <v>70</v>
      </c>
      <c r="D7" t="s">
        <v>15</v>
      </c>
      <c r="E7" t="s">
        <v>21</v>
      </c>
    </row>
    <row r="8" spans="1:5">
      <c r="A8" t="s">
        <v>13</v>
      </c>
      <c r="B8" t="s">
        <v>22</v>
      </c>
      <c r="C8">
        <f>C3*C6+C7</f>
        <v>160</v>
      </c>
      <c r="D8" t="s">
        <v>15</v>
      </c>
      <c r="E8" t="s">
        <v>23</v>
      </c>
    </row>
    <row r="9" spans="1:5">
      <c r="A9" t="s">
        <v>24</v>
      </c>
      <c r="B9" t="s">
        <v>25</v>
      </c>
      <c r="C9" s="2">
        <v>108.01</v>
      </c>
      <c r="D9" t="s">
        <v>26</v>
      </c>
      <c r="E9" t="s">
        <v>27</v>
      </c>
    </row>
    <row r="10" spans="1:5">
      <c r="A10" t="s">
        <v>24</v>
      </c>
      <c r="B10" t="s">
        <v>28</v>
      </c>
      <c r="C10" s="2">
        <v>190.08</v>
      </c>
      <c r="D10" t="s">
        <v>26</v>
      </c>
      <c r="E10" t="s">
        <v>29</v>
      </c>
    </row>
    <row r="11" spans="1:5">
      <c r="A11" t="s">
        <v>24</v>
      </c>
      <c r="B11" t="s">
        <v>30</v>
      </c>
      <c r="C11" s="2">
        <v>62.8</v>
      </c>
      <c r="D11" t="s">
        <v>26</v>
      </c>
      <c r="E11" t="s">
        <v>31</v>
      </c>
    </row>
    <row r="12" spans="1:5">
      <c r="A12" t="s">
        <v>24</v>
      </c>
      <c r="B12" t="s">
        <v>32</v>
      </c>
      <c r="C12" s="2">
        <v>147.54</v>
      </c>
      <c r="D12" t="s">
        <v>26</v>
      </c>
      <c r="E12" t="s">
        <v>33</v>
      </c>
    </row>
    <row r="13" spans="1:5">
      <c r="A13" t="s">
        <v>24</v>
      </c>
      <c r="B13" t="s">
        <v>34</v>
      </c>
      <c r="C13">
        <f>C5*C9</f>
        <v>14041.300000000001</v>
      </c>
      <c r="D13" t="s">
        <v>35</v>
      </c>
      <c r="E13" t="s">
        <v>36</v>
      </c>
    </row>
    <row r="14" spans="1:5">
      <c r="A14" t="s">
        <v>24</v>
      </c>
      <c r="B14" t="s">
        <v>37</v>
      </c>
      <c r="C14">
        <f>C5*C10</f>
        <v>24710.400000000001</v>
      </c>
      <c r="D14" t="s">
        <v>35</v>
      </c>
      <c r="E14" t="s">
        <v>36</v>
      </c>
    </row>
    <row r="15" spans="1:5">
      <c r="A15" t="s">
        <v>24</v>
      </c>
      <c r="B15" t="s">
        <v>38</v>
      </c>
      <c r="C15">
        <f>C8*C11</f>
        <v>10048</v>
      </c>
      <c r="D15" t="s">
        <v>35</v>
      </c>
      <c r="E15" t="s">
        <v>36</v>
      </c>
    </row>
    <row r="16" spans="1:5">
      <c r="A16" t="s">
        <v>24</v>
      </c>
      <c r="B16" t="s">
        <v>39</v>
      </c>
      <c r="C16">
        <f>C8*C12</f>
        <v>23606.399999999998</v>
      </c>
      <c r="D16" t="s">
        <v>35</v>
      </c>
      <c r="E16" t="s">
        <v>36</v>
      </c>
    </row>
    <row r="17" spans="1:5">
      <c r="A17" t="s">
        <v>24</v>
      </c>
      <c r="B17" t="s">
        <v>40</v>
      </c>
      <c r="C17" s="2" t="s">
        <v>41</v>
      </c>
      <c r="D17" t="s">
        <v>42</v>
      </c>
      <c r="E17" t="s">
        <v>43</v>
      </c>
    </row>
    <row r="18" spans="1:5">
      <c r="A18" t="s">
        <v>24</v>
      </c>
      <c r="B18" t="s">
        <v>44</v>
      </c>
      <c r="C18" s="2" t="s">
        <v>45</v>
      </c>
      <c r="D18" t="s">
        <v>42</v>
      </c>
      <c r="E18" t="s">
        <v>46</v>
      </c>
    </row>
    <row r="19" spans="1:5">
      <c r="A19" t="s">
        <v>47</v>
      </c>
      <c r="B19" t="s">
        <v>48</v>
      </c>
      <c r="C19" s="2"/>
      <c r="D19" t="s">
        <v>49</v>
      </c>
    </row>
    <row r="20" spans="1:5">
      <c r="A20" t="s">
        <v>47</v>
      </c>
      <c r="B20" t="s">
        <v>50</v>
      </c>
      <c r="C20" s="2"/>
      <c r="D20" t="s">
        <v>51</v>
      </c>
    </row>
    <row r="21" spans="1:5">
      <c r="A21" t="s">
        <v>47</v>
      </c>
      <c r="B21" t="s">
        <v>52</v>
      </c>
      <c r="C21" s="2"/>
      <c r="D21" t="s">
        <v>53</v>
      </c>
    </row>
    <row r="22" spans="1:5">
      <c r="A22" t="s">
        <v>47</v>
      </c>
      <c r="B22" t="s">
        <v>54</v>
      </c>
      <c r="C22" s="2"/>
      <c r="D22" t="s">
        <v>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
  <sheetViews>
    <sheetView tabSelected="1" topLeftCell="D1" workbookViewId="0">
      <pane ySplit="1" topLeftCell="A2" activePane="bottomLeft" state="frozen"/>
      <selection pane="bottomLeft" activeCell="E10" sqref="E10"/>
    </sheetView>
  </sheetViews>
  <sheetFormatPr baseColWidth="10" defaultRowHeight="16"/>
  <cols>
    <col min="1" max="1" width="18" customWidth="1"/>
    <col min="2" max="2" width="36" customWidth="1"/>
    <col min="3" max="3" width="10" customWidth="1"/>
    <col min="4" max="4" width="24.83203125" customWidth="1"/>
    <col min="5" max="5" width="10" customWidth="1"/>
    <col min="6" max="7" width="50" customWidth="1"/>
  </cols>
  <sheetData>
    <row r="1" spans="1:7">
      <c r="A1" s="1" t="s">
        <v>67</v>
      </c>
      <c r="B1" s="1" t="s">
        <v>68</v>
      </c>
      <c r="C1" s="1" t="s">
        <v>69</v>
      </c>
      <c r="D1" s="1" t="s">
        <v>3</v>
      </c>
      <c r="E1" s="1" t="s">
        <v>70</v>
      </c>
      <c r="F1" s="1" t="s">
        <v>71</v>
      </c>
      <c r="G1" s="1" t="s">
        <v>72</v>
      </c>
    </row>
    <row r="2" spans="1:7">
      <c r="A2" t="s">
        <v>73</v>
      </c>
      <c r="B2" t="s">
        <v>74</v>
      </c>
      <c r="C2" s="3">
        <v>0.18296000000000001</v>
      </c>
      <c r="D2" s="2" t="s">
        <v>83</v>
      </c>
      <c r="E2" t="s">
        <v>75</v>
      </c>
      <c r="F2" s="2" t="s">
        <v>84</v>
      </c>
      <c r="G2" s="2" t="s">
        <v>85</v>
      </c>
    </row>
    <row r="3" spans="1:7">
      <c r="A3" t="s">
        <v>76</v>
      </c>
      <c r="B3" t="s">
        <v>77</v>
      </c>
      <c r="C3" s="3">
        <v>0.17699999999999999</v>
      </c>
      <c r="D3" s="2" t="s">
        <v>87</v>
      </c>
      <c r="E3" t="s">
        <v>78</v>
      </c>
      <c r="F3" s="2" t="s">
        <v>86</v>
      </c>
      <c r="G3" s="2" t="s">
        <v>88</v>
      </c>
    </row>
    <row r="4" spans="1:7">
      <c r="A4" t="s">
        <v>79</v>
      </c>
      <c r="B4" t="s">
        <v>80</v>
      </c>
      <c r="C4" s="3"/>
      <c r="D4" s="3"/>
      <c r="E4" t="s">
        <v>78</v>
      </c>
      <c r="F4" s="3"/>
      <c r="G4" s="3"/>
    </row>
    <row r="5" spans="1:7">
      <c r="A5" t="s">
        <v>81</v>
      </c>
      <c r="B5" t="s">
        <v>82</v>
      </c>
      <c r="C5" s="3"/>
      <c r="D5" s="3"/>
      <c r="E5" t="s">
        <v>78</v>
      </c>
      <c r="F5" s="3"/>
      <c r="G5"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Assumptions</vt:lpstr>
      <vt:lpstr>Emission factors</vt:lpstr>
      <vt:lpstr>Calculations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SHEARER, KIRSTY (Student)</dc:creator>
  <cp:lastModifiedBy>SHEARER, KIRSTY (Student)</cp:lastModifiedBy>
  <dcterms:created xsi:type="dcterms:W3CDTF">2026-10-20T10:39:37Z</dcterms:created>
  <dcterms:modified xsi:type="dcterms:W3CDTF">2026-10-20T13:26:49Z</dcterms:modified>
</cp:coreProperties>
</file>